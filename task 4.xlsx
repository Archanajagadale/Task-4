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8280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<sst xmlns="http://schemas.openxmlformats.org/spreadsheetml/2006/main" count="53" uniqueCount="33">
  <si>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Employee</t>
  </si>
  <si>
    <t>Department</t>
  </si>
  <si>
    <t>Q1 Sales ($K)</t>
  </si>
  <si>
    <t>Region</t>
  </si>
  <si>
    <t>Performance</t>
  </si>
  <si>
    <t>Column1</t>
  </si>
  <si>
    <t>John Smith</t>
  </si>
  <si>
    <t>Sales</t>
  </si>
  <si>
    <t>North</t>
  </si>
  <si>
    <t>Good</t>
  </si>
  <si>
    <t>Sarah Johnson</t>
  </si>
  <si>
    <t>East</t>
  </si>
  <si>
    <t>Excellent</t>
  </si>
  <si>
    <t>Mike Davis</t>
  </si>
  <si>
    <t>Marketing</t>
  </si>
  <si>
    <t>Average</t>
  </si>
  <si>
    <t>Emily Wilson</t>
  </si>
  <si>
    <t>West</t>
  </si>
  <si>
    <t>Robert Brown</t>
  </si>
  <si>
    <t>IT</t>
  </si>
  <si>
    <t>South</t>
  </si>
  <si>
    <t>Lisa Anderson</t>
  </si>
  <si>
    <t>James Taylor</t>
  </si>
  <si>
    <t>Jennifer Lee</t>
  </si>
  <si>
    <t>David Martin</t>
  </si>
  <si>
    <t>Maria Garcia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</si>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</sst>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1" xfId="0" applyNumberFormat="1" applyFont="1" applyBorder="1"/>
    <xf numFmtId="0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11" totalsRowShown="0">
  <autoFilter xmlns:etc="http://www.wps.cn/officeDocument/2017/etCustomData" ref="A1:F11" etc:filterBottomFollowUsedRange="0"/>
  <tableColumns count="6">
    <tableColumn id="1" name="Employee" dataDxfId="0"/>
    <tableColumn id="2" name="Department" dataDxfId="1"/>
    <tableColumn id="3" name="Q1 Sales ($K)" dataDxfId="2"/>
    <tableColumn id="4" name="Region" dataDxfId="3"/>
    <tableColumn id="5" name="Performance" dataDxfId="4"/>
    <tableColumn id="6" name="Column1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B14" sqref="B14:H14"/>
    </sheetView>
  </sheetViews>
  <sheetFormatPr defaultColWidth="9" defaultRowHeight="15.6" outlineLevelCol="7"/>
  <cols>
    <col min="1" max="1" width="18.8333333333333" customWidth="1"/>
    <col min="2" max="2" width="12.8333333333333" customWidth="1"/>
    <col min="3" max="3" width="14.8333333333333" customWidth="1"/>
    <col min="4" max="4" width="10.8333333333333" customWidth="1"/>
    <col min="5" max="5" width="12.8333333333333" customWidth="1"/>
    <col min="7" max="7" width="12.8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 t="s">
        <v>6</v>
      </c>
      <c r="B2" t="s">
        <v>7</v>
      </c>
      <c r="C2">
        <v>45</v>
      </c>
      <c r="D2" t="s">
        <v>8</v>
      </c>
      <c r="E2" t="s">
        <v>9</v>
      </c>
    </row>
    <row r="3" spans="1:8">
      <c r="A3" t="s">
        <v>10</v>
      </c>
      <c r="B3" t="s">
        <v>7</v>
      </c>
      <c r="C3">
        <v>52</v>
      </c>
      <c r="D3" t="s">
        <v>11</v>
      </c>
      <c r="E3" t="s">
        <v>12</v>
      </c>
    </row>
    <row r="4" spans="1:8">
      <c r="A4" t="s">
        <v>13</v>
      </c>
      <c r="B4" t="s">
        <v>14</v>
      </c>
      <c r="C4">
        <v>28</v>
      </c>
      <c r="D4" t="s">
        <v>8</v>
      </c>
      <c r="E4" t="s">
        <v>15</v>
      </c>
    </row>
    <row r="5" spans="1:8">
      <c r="A5" t="s">
        <v>16</v>
      </c>
      <c r="B5" t="s">
        <v>7</v>
      </c>
      <c r="C5">
        <v>48</v>
      </c>
      <c r="D5" t="s">
        <v>17</v>
      </c>
      <c r="E5" t="s">
        <v>9</v>
      </c>
    </row>
    <row r="6" spans="1:8">
      <c r="A6" t="s">
        <v>18</v>
      </c>
      <c r="B6" t="s">
        <v>19</v>
      </c>
      <c r="C6">
        <v>15</v>
      </c>
      <c r="D6" t="s">
        <v>20</v>
      </c>
      <c r="E6" t="s">
        <v>15</v>
      </c>
    </row>
    <row r="7" spans="1:8">
      <c r="A7" t="s">
        <v>21</v>
      </c>
      <c r="B7" t="s">
        <v>7</v>
      </c>
      <c r="C7">
        <v>55</v>
      </c>
      <c r="D7" t="s">
        <v>11</v>
      </c>
      <c r="E7" t="s">
        <v>12</v>
      </c>
    </row>
    <row r="8" spans="1:8">
      <c r="A8" t="s">
        <v>22</v>
      </c>
      <c r="B8" t="s">
        <v>14</v>
      </c>
      <c r="C8">
        <v>35</v>
      </c>
      <c r="D8" t="s">
        <v>17</v>
      </c>
      <c r="E8" t="s">
        <v>9</v>
      </c>
    </row>
    <row r="9" spans="1:8">
      <c r="A9" t="s">
        <v>23</v>
      </c>
      <c r="B9" t="s">
        <v>7</v>
      </c>
      <c r="C9">
        <v>49</v>
      </c>
      <c r="D9" t="s">
        <v>8</v>
      </c>
      <c r="E9" t="s">
        <v>12</v>
      </c>
    </row>
    <row r="10" spans="1:8">
      <c r="A10" t="s">
        <v>24</v>
      </c>
      <c r="B10" t="s">
        <v>19</v>
      </c>
      <c r="C10">
        <v>18</v>
      </c>
      <c r="D10" t="s">
        <v>20</v>
      </c>
      <c r="E10" t="s">
        <v>15</v>
      </c>
    </row>
    <row r="11" spans="1:8">
      <c r="A11" t="s">
        <v>25</v>
      </c>
      <c r="B11" t="s">
        <v>7</v>
      </c>
      <c r="C11">
        <v>51</v>
      </c>
      <c r="D11" t="s">
        <v>17</v>
      </c>
      <c r="E11" t="s">
        <v>12</v>
      </c>
    </row>
    <row r="14" spans="1:8">
      <c r="B14" s="1" t="s">
        <v>26</v>
      </c>
      <c r="C14" s="1" t="s">
        <v>27</v>
      </c>
      <c r="D14" s="1" t="s">
        <v>28</v>
      </c>
      <c r="E14" s="1" t="s">
        <v>29</v>
      </c>
      <c r="F14" s="1" t="s">
        <v>30</v>
      </c>
      <c r="G14" s="1" t="s">
        <v>31</v>
      </c>
      <c r="H14" s="1" t="s">
        <v>32</v>
      </c>
    </row>
    <row r="15" spans="1:8">
      <c r="B15" s="2">
        <f>SUMIF(B2:B11,"Sales",C2:C11)</f>
        <v>300</v>
      </c>
      <c r="C15" s="2">
        <f>COUNTIF(E2:E11,"Excellent")</f>
        <v>4</v>
      </c>
      <c r="D15" s="2">
        <f>AVERAGEIF(D2:D11,"East",C2:C11)</f>
        <v>53.5</v>
      </c>
      <c r="E15" s="2">
        <f>SUMIF(B2:B11,"Marketing",C2:C11)*1000</f>
        <v>63000</v>
      </c>
      <c r="F15" s="2">
        <f>COUNTIFS(B2:B11,"Sales",C2:C11,"&gt;50")</f>
        <v>3</v>
      </c>
      <c r="G15" s="2">
        <f>AVERAGEIF(E2:E11,"Good",C2:C11)</f>
        <v>42.6666666666667</v>
      </c>
      <c r="H15" s="2" cm="1">
        <f t="array" ref="H15">SUM(SUMIFS(C2:C11,B2:B11,"Sales",D2:D11,{"North","East"}))</f>
        <v>201</v>
      </c>
    </row>
  </sheetData>
  <pageMargins left="0.75" right="0.75" top="1" bottom="1" header="0.5" footer="0.5"/>
  <headerFooter/>
  <ignoredErrors>
    <ignoredError sqref="A2:E1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Archana Jagadale</cp:lastModifiedBy>
  <dcterms:created xsi:type="dcterms:W3CDTF">2026-09-24T17:42:19Z</dcterms:created>
  <dcterms:modified xsi:type="dcterms:W3CDTF">2026-09-24T18:08:28Z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2D3ADE2F8DE6449ABD05287F47AA57E1_13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